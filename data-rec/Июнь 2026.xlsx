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6320" windowWidth="27870" windowHeight="16440" tabRatio="600" firstSheet="0" activeTab="0" autoFilterDateGrouping="1"/>
  </bookViews>
  <sheets>
    <sheet xmlns:r="http://schemas.openxmlformats.org/officeDocument/2006/relationships" name="Лист_1" sheetId="1" state="visible" r:id="rId1"/>
  </sheets>
  <definedNames>
    <definedName name="_xlnm._FilterDatabase" localSheetId="0" hidden="1">'Лист_1'!$A$1:$Q$7</definedName>
  </definedNames>
  <calcPr calcId="181029" fullCalcOnLoad="1" refMode="R1C1"/>
</workbook>
</file>

<file path=xl/styles.xml><?xml version="1.0" encoding="utf-8"?>
<styleSheet xmlns="http://schemas.openxmlformats.org/spreadsheetml/2006/main">
  <numFmts count="3">
    <numFmt numFmtId="164" formatCode="#,##0.00000"/>
    <numFmt numFmtId="165" formatCode="0.00000"/>
    <numFmt numFmtId="166" formatCode="0.0"/>
  </numFmts>
  <fonts count="3">
    <font>
      <name val="Arial"/>
      <sz val="8"/>
    </font>
    <font>
      <name val="Arial"/>
      <b val="1"/>
      <color rgb="FFFFFFFF"/>
      <sz val="10"/>
    </font>
    <font>
      <name val="Arial"/>
      <charset val="204"/>
      <family val="2"/>
      <sz val="8"/>
    </font>
  </fonts>
  <fills count="4">
    <fill>
      <patternFill/>
    </fill>
    <fill>
      <patternFill patternType="gray125"/>
    </fill>
    <fill>
      <patternFill patternType="solid">
        <fgColor rgb="FF4574A0"/>
        <bgColor auto="1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DC7EB"/>
      </left>
      <right style="thin">
        <color rgb="FFBDC7EB"/>
      </right>
      <top style="thin">
        <color rgb="FFBDC7EB"/>
      </top>
      <bottom style="thin">
        <color rgb="FFBDC7EB"/>
      </bottom>
      <diagonal/>
    </border>
    <border>
      <left style="thin">
        <color rgb="FF7D8AB9"/>
      </left>
      <right style="thin">
        <color rgb="FF7D8AB9"/>
      </right>
      <top style="thin">
        <color rgb="FF7D8AB9"/>
      </top>
      <bottom style="thin">
        <color rgb="FF7D8AB9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 vertical="top" wrapText="1"/>
    </xf>
    <xf numFmtId="0" fontId="0" fillId="0" borderId="2" applyAlignment="1" pivotButton="0" quotePrefix="0" xfId="0">
      <alignment horizontal="left" vertical="top"/>
    </xf>
    <xf numFmtId="0" fontId="0" fillId="0" borderId="2" applyAlignment="1" pivotButton="0" quotePrefix="0" xfId="0">
      <alignment horizontal="left" vertical="top" wrapText="1"/>
    </xf>
    <xf numFmtId="164" fontId="0" fillId="0" borderId="2" applyAlignment="1" pivotButton="0" quotePrefix="0" xfId="0">
      <alignment horizontal="right" vertical="top" wrapText="1"/>
    </xf>
    <xf numFmtId="2" fontId="0" fillId="0" borderId="2" applyAlignment="1" pivotButton="0" quotePrefix="0" xfId="0">
      <alignment horizontal="right" vertical="top" wrapText="1"/>
    </xf>
    <xf numFmtId="165" fontId="0" fillId="0" borderId="2" applyAlignment="1" pivotButton="0" quotePrefix="0" xfId="0">
      <alignment horizontal="right" vertical="top" wrapText="1"/>
    </xf>
    <xf numFmtId="166" fontId="0" fillId="0" borderId="2" applyAlignment="1" pivotButton="0" quotePrefix="0" xfId="0">
      <alignment horizontal="right" vertical="top" wrapText="1"/>
    </xf>
    <xf numFmtId="3" fontId="0" fillId="0" borderId="2" applyAlignment="1" pivotButton="0" quotePrefix="0" xfId="0">
      <alignment horizontal="right" vertical="top" wrapText="1"/>
    </xf>
    <xf numFmtId="1" fontId="0" fillId="0" borderId="2" applyAlignment="1" pivotButton="0" quotePrefix="0" xfId="0">
      <alignment horizontal="right" vertical="top" wrapText="1"/>
    </xf>
    <xf numFmtId="14" fontId="0" fillId="0" borderId="2" applyAlignment="1" pivotButton="0" quotePrefix="0" xfId="0">
      <alignment horizontal="left" vertical="top" wrapText="1"/>
    </xf>
    <xf numFmtId="0" fontId="0" fillId="3" borderId="2" applyAlignment="1" pivotButton="0" quotePrefix="0" xfId="0">
      <alignment horizontal="left" vertical="top"/>
    </xf>
    <xf numFmtId="0" fontId="0" fillId="3" borderId="2" applyAlignment="1" pivotButton="0" quotePrefix="0" xfId="0">
      <alignment horizontal="left" vertical="top" wrapText="1"/>
    </xf>
    <xf numFmtId="164" fontId="0" fillId="3" borderId="2" applyAlignment="1" pivotButton="0" quotePrefix="0" xfId="0">
      <alignment horizontal="right" vertical="top" wrapText="1"/>
    </xf>
    <xf numFmtId="3" fontId="0" fillId="3" borderId="2" applyAlignment="1" pivotButton="0" quotePrefix="0" xfId="0">
      <alignment horizontal="right" vertical="top" wrapText="1"/>
    </xf>
    <xf numFmtId="165" fontId="0" fillId="3" borderId="2" applyAlignment="1" pivotButton="0" quotePrefix="0" xfId="0">
      <alignment horizontal="right" vertical="top" wrapText="1"/>
    </xf>
    <xf numFmtId="0" fontId="0" fillId="3" borderId="2" applyAlignment="1" pivotButton="0" quotePrefix="0" xfId="0">
      <alignment horizontal="right" vertical="top" wrapText="1"/>
    </xf>
    <xf numFmtId="4" fontId="0" fillId="3" borderId="2" applyAlignment="1" pivotButton="0" quotePrefix="0" xfId="0">
      <alignment horizontal="right" vertical="top" wrapText="1"/>
    </xf>
    <xf numFmtId="0" fontId="2" fillId="0" borderId="2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right" vertical="top" wrapText="1"/>
    </xf>
    <xf numFmtId="0" fontId="0" fillId="0" borderId="2" applyAlignment="1" pivotButton="0" quotePrefix="0" xfId="0">
      <alignment horizontal="right" vertical="top" wrapText="1"/>
    </xf>
    <xf numFmtId="0" fontId="2" fillId="3" borderId="2" applyAlignment="1" pivotButton="0" quotePrefix="0" xfId="0">
      <alignment horizontal="left"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autoPageBreaks="0"/>
  </sheetPr>
  <dimension ref="A1:Q7"/>
  <sheetViews>
    <sheetView tabSelected="1" workbookViewId="0">
      <selection activeCell="D19" sqref="D19"/>
    </sheetView>
  </sheetViews>
  <sheetFormatPr baseColWidth="8" defaultColWidth="10.42578125" defaultRowHeight="11.4" customHeight="1"/>
  <cols>
    <col width="24.5703125" customWidth="1" style="1" min="1" max="1"/>
    <col width="17.7109375" customWidth="1" style="1" min="2" max="2"/>
    <col width="15.7109375" customWidth="1" style="1" min="3" max="3"/>
    <col width="15.28515625" customWidth="1" style="1" min="4" max="4"/>
    <col width="20.85546875" customWidth="1" style="1" min="5" max="5"/>
    <col width="15.7109375" customWidth="1" style="1" min="6" max="6"/>
    <col width="56.7109375" customWidth="1" style="1" min="7" max="7"/>
    <col width="21.42578125" customWidth="1" style="1" min="8" max="8"/>
    <col width="20.85546875" customWidth="1" style="1" min="9" max="9"/>
    <col width="29.42578125" customWidth="1" style="1" min="10" max="10"/>
    <col width="24.42578125" customWidth="1" style="1" min="11" max="11"/>
    <col width="23.140625" customWidth="1" style="1" min="12" max="12"/>
    <col width="43.28515625" customWidth="1" style="1" min="13" max="13"/>
    <col width="20" customWidth="1" style="1" min="14" max="14"/>
    <col width="27" customWidth="1" style="1" min="15" max="15"/>
    <col width="34.42578125" customWidth="1" style="1" min="16" max="16"/>
    <col width="15.28515625" customWidth="1" style="1" min="17" max="17"/>
  </cols>
  <sheetData>
    <row r="1" ht="58.8" customHeight="1">
      <c r="A1" s="2" t="inlineStr">
        <is>
          <t>Регистрационный номер</t>
        </is>
      </c>
      <c r="B1" s="2" t="inlineStr">
        <is>
          <t>Отправитель</t>
        </is>
      </c>
      <c r="C1" s="2" t="inlineStr">
        <is>
          <t>Рекламация</t>
        </is>
      </c>
      <c r="D1" s="2" t="inlineStr">
        <is>
          <t>Вид рекламации</t>
        </is>
      </c>
      <c r="E1" s="2" t="inlineStr">
        <is>
          <t>Вид несоответствия</t>
        </is>
      </c>
      <c r="F1" s="2" t="inlineStr">
        <is>
          <t>Рекламация обоснована</t>
        </is>
      </c>
      <c r="G1" s="2" t="inlineStr">
        <is>
          <t>Содержание рекламации</t>
        </is>
      </c>
      <c r="H1" s="2" t="inlineStr">
        <is>
          <t>Ответственное подразделение</t>
        </is>
      </c>
      <c r="I1" s="2" t="inlineStr">
        <is>
          <t>Продуктовое направление</t>
        </is>
      </c>
      <c r="J1" s="2" t="inlineStr">
        <is>
          <t>Решение по рекламации</t>
        </is>
      </c>
      <c r="K1" s="2" t="inlineStr">
        <is>
          <t>Коренная причина необнаружения</t>
        </is>
      </c>
      <c r="L1" s="2" t="inlineStr">
        <is>
          <t>Корреная причина возникновения</t>
        </is>
      </c>
      <c r="M1" s="2" t="inlineStr">
        <is>
          <t>Корректирующие действия</t>
        </is>
      </c>
      <c r="N1" s="2" t="inlineStr">
        <is>
          <t>Сумма затрат</t>
        </is>
      </c>
      <c r="O1" s="2" t="inlineStr">
        <is>
          <t>Масса металлоизделий с несоответствиями, кг</t>
        </is>
      </c>
      <c r="P1" s="2" t="inlineStr">
        <is>
          <t>Состав затрат</t>
        </is>
      </c>
      <c r="Q1" s="2" t="inlineStr">
        <is>
          <t>Дата закрытия рекламации</t>
        </is>
      </c>
    </row>
    <row r="2" ht="57" customHeight="1">
      <c r="A2" s="12" t="inlineStr">
        <is>
          <t>5253 от 01.06.26</t>
        </is>
      </c>
      <c r="B2" s="13" t="inlineStr">
        <is>
          <t>ВОЛГА-ЭНЕРГОГАЗ</t>
        </is>
      </c>
      <c r="C2" s="13" t="inlineStr">
        <is>
          <t>Внешняя</t>
        </is>
      </c>
      <c r="D2" s="13" t="inlineStr">
        <is>
          <t>Качество</t>
        </is>
      </c>
      <c r="E2" s="13" t="inlineStr">
        <is>
          <t>Несоответствие геометрических размеров</t>
        </is>
      </c>
      <c r="F2" s="13" t="inlineStr">
        <is>
          <t>Да</t>
        </is>
      </c>
      <c r="G2" s="13" t="inlineStr">
        <is>
          <t>"Несоответствия геометрических размеров на ГПЦ(настил)(40) Настил SP 34х38/30х3 S4 А Zn 2220х800 (017.06.150.012) и ГПЦ(настил)(40) Настил SP 34х38/30х3 S4 А Zn 2220х1000 (017.06.150.013)
ЗК 612, реал. 1197"</t>
        </is>
      </c>
      <c r="H2" s="22" t="inlineStr">
        <is>
          <t>УПН</t>
        </is>
      </c>
      <c r="I2" s="13" t="inlineStr">
        <is>
          <t>Решетчатые настилы</t>
        </is>
      </c>
      <c r="J2" s="13" t="inlineStr">
        <is>
          <t>Забор-доработка-возврат</t>
        </is>
      </c>
      <c r="K2" s="13" t="inlineStr">
        <is>
          <t>В РАБОТЕ</t>
        </is>
      </c>
      <c r="L2" s="13" t="inlineStr">
        <is>
          <t>В РАБОТЕ</t>
        </is>
      </c>
      <c r="M2" s="13" t="inlineStr">
        <is>
          <t>В РАБОТЕ</t>
        </is>
      </c>
      <c r="N2" s="16" t="n">
        <v>0.01</v>
      </c>
      <c r="O2" s="17">
        <f>417.68+86.62</f>
        <v/>
      </c>
      <c r="P2" s="13" t="inlineStr">
        <is>
          <t>Отсутствуют</t>
        </is>
      </c>
      <c r="Q2" s="13" t="inlineStr">
        <is>
          <t>В РАБОТЕ</t>
        </is>
      </c>
    </row>
    <row r="3" ht="63.6" customHeight="1">
      <c r="A3" s="3" t="inlineStr">
        <is>
          <t>5763 от 10.06.26</t>
        </is>
      </c>
      <c r="B3" s="4" t="inlineStr">
        <is>
          <t>Д И М ООО</t>
        </is>
      </c>
      <c r="C3" s="4" t="inlineStr">
        <is>
          <t>Внешняя</t>
        </is>
      </c>
      <c r="D3" s="4" t="inlineStr">
        <is>
          <t>Качество</t>
        </is>
      </c>
      <c r="E3" s="4" t="inlineStr">
        <is>
          <t>Невыполнение требований НТД</t>
        </is>
      </c>
      <c r="F3" s="4" t="inlineStr">
        <is>
          <t>Нет</t>
        </is>
      </c>
      <c r="G3" s="4" t="inlineStr">
        <is>
          <t>По информации клиента, на 46 шт. ГПЦ "Болт М16-6g×35.58.0930 ГОСТ 7798-70 оцинкованное" после сборки металлоизделий не обеспечено выступание резьбовой части болта над гайкой более чем на 2 витка
Требование заменить болты на 40 или 45 р-р.
ЗК 388</t>
        </is>
      </c>
      <c r="H3" s="4" t="n"/>
      <c r="I3" s="4" t="inlineStr">
        <is>
          <t>Метизы</t>
        </is>
      </c>
      <c r="J3" s="4" t="inlineStr">
        <is>
          <t>Отгрузить в адрес клиента ГПЦ(закупка) (в ШТ) Болт М16-6azx45.58.0930 ГОСТ 7798-70 Оцинкованное в кол-ве 46 шт. Отгрузка за счет клиента</t>
        </is>
      </c>
      <c r="K3" s="4" t="n"/>
      <c r="L3" s="4" t="n"/>
      <c r="M3" s="4" t="n"/>
      <c r="N3" s="7" t="n">
        <v>88</v>
      </c>
      <c r="O3" s="4" t="n"/>
      <c r="P3" s="4" t="inlineStr">
        <is>
          <t>Стоимость  ГПЦ(закупка) (в ШТ) Болт М16-6azx45.58.0930 ГОСТ 7798-70 в кол-ве 46 шт. - 88 р</t>
        </is>
      </c>
      <c r="Q3" s="4" t="inlineStr">
        <is>
          <t>29.06.2026</t>
        </is>
      </c>
    </row>
    <row r="4" ht="113.4" customHeight="1">
      <c r="A4" s="3" t="inlineStr">
        <is>
          <t>5767 от 10.06.26</t>
        </is>
      </c>
      <c r="B4" s="4" t="inlineStr">
        <is>
          <t>УМ-10 (Омск)</t>
        </is>
      </c>
      <c r="C4" s="4" t="inlineStr">
        <is>
          <t>Внешняя</t>
        </is>
      </c>
      <c r="D4" s="4" t="inlineStr">
        <is>
          <t>Качество</t>
        </is>
      </c>
      <c r="E4" s="4" t="inlineStr">
        <is>
          <t>Невыполнение требований НТД</t>
        </is>
      </c>
      <c r="F4" s="4" t="inlineStr">
        <is>
          <t>Нет</t>
        </is>
      </c>
      <c r="G4" s="4" t="inlineStr">
        <is>
          <t>Клиентом получено предписание в отношении БО. Согласно замечанию, представленные фотоматериалы маркировочных бирок на отдельных элементах барьерного ограждения (секция балки, консоль-амортизатор) содержат знак обращения продукции, товарный знак изготовителя ОАО «Продмаш» и дату изготовления, однако не содержат сведения по условному обозначению продукции в соответствии с требованиями п. 5.2 ГОСТ Р 58351-2019.
Клиент просит до 12.06.26 подготовить официальный ответ для заказчика.
ЗК 1808</t>
        </is>
      </c>
      <c r="H4" s="4" t="n"/>
      <c r="I4" s="4" t="inlineStr">
        <is>
          <t>ДО</t>
        </is>
      </c>
      <c r="J4" s="4" t="inlineStr">
        <is>
          <t>Отправлен оф. ответ 11.06.26 исх. 611</t>
        </is>
      </c>
      <c r="K4" s="4" t="n"/>
      <c r="L4" s="4" t="n"/>
      <c r="M4" s="4" t="n"/>
      <c r="N4" s="21" t="n">
        <v>1500</v>
      </c>
      <c r="O4" s="4" t="n"/>
      <c r="P4" s="19" t="inlineStr">
        <is>
          <t>Отправка маркировочных бирок в рамках лояльности к клиенту СДЭКом 1 500 руб.</t>
        </is>
      </c>
      <c r="Q4" s="4" t="inlineStr">
        <is>
          <t>06.07.2026</t>
        </is>
      </c>
    </row>
    <row r="5" ht="133.2" customHeight="1">
      <c r="A5" s="12" t="inlineStr">
        <is>
          <t>5843 от 15.06.26</t>
        </is>
      </c>
      <c r="B5" s="13" t="inlineStr">
        <is>
          <t>МОСТОВИК</t>
        </is>
      </c>
      <c r="C5" s="13" t="inlineStr">
        <is>
          <t>Внешняя</t>
        </is>
      </c>
      <c r="D5" s="13" t="inlineStr">
        <is>
          <t>Количество</t>
        </is>
      </c>
      <c r="E5" s="13" t="inlineStr">
        <is>
          <t>Несоответствие требованиям РД/договорным документа</t>
        </is>
      </c>
      <c r="F5" s="13" t="inlineStr">
        <is>
          <t>Да</t>
        </is>
      </c>
      <c r="G5" s="13" t="inlineStr">
        <is>
          <t>От заказчика поступил запрос на разъяснение по ЗК 543 (КП 973) в части отсутствия на отдельных участках трассы радиусных балок, предусмотренных рабочей документацией.
По результатам проверки от ЦТОЗ установлено, что три из четырёх указанных заказчиком участков не входили в объём нашей поставки. Вместе с тем по одному участку протяжённостью 12 м радиусное исполнение не было учтено при комплектации заказа, в результате чего были поставлены две прямые балки длиной 6320 мм.
Дополнительно: необходимо изготовить и отгрузить клиенту 3 шт. ГПЦ(80) Элемент радиусный ЭР-W/2,5-19930-М5 (R=19930 мм; Lзаг=4320 мм) ВЫПУКЛЫЙ
ЗК 543</t>
        </is>
      </c>
      <c r="H5" s="22" t="inlineStr">
        <is>
          <t>ЦТОЗ</t>
        </is>
      </c>
      <c r="I5" s="13" t="inlineStr">
        <is>
          <t>ДО</t>
        </is>
      </c>
      <c r="J5" s="13" t="inlineStr">
        <is>
          <t>Изготовление и отгрузка 3х м/и</t>
        </is>
      </c>
      <c r="K5" s="13" t="inlineStr">
        <is>
          <t>В РАБОТЕ</t>
        </is>
      </c>
      <c r="L5" s="13" t="inlineStr">
        <is>
          <t>В РАБОТЕ</t>
        </is>
      </c>
      <c r="M5" s="13" t="inlineStr">
        <is>
          <t>В РАБОТЕ</t>
        </is>
      </c>
      <c r="N5" s="17" t="inlineStr">
        <is>
          <t>12 974,84</t>
        </is>
      </c>
      <c r="O5" s="17" t="n">
        <v>118.5</v>
      </c>
      <c r="P5" s="13" t="inlineStr">
        <is>
          <t>Заказ на ВП 889 (Изготовление) - 12974,84
Отгрузка совместно с реал. 1443 от 20.06.26</t>
        </is>
      </c>
      <c r="Q5" s="13" t="inlineStr">
        <is>
          <t>В РАБОТЕ</t>
        </is>
      </c>
    </row>
    <row r="6" ht="136.8" customHeight="1">
      <c r="A6" s="12" t="inlineStr">
        <is>
          <t>5851 от 16.06.26</t>
        </is>
      </c>
      <c r="B6" s="13" t="inlineStr">
        <is>
          <t>ДЕССА</t>
        </is>
      </c>
      <c r="C6" s="13" t="inlineStr">
        <is>
          <t>Внешняя</t>
        </is>
      </c>
      <c r="D6" s="13" t="inlineStr">
        <is>
          <t>Качество</t>
        </is>
      </c>
      <c r="E6" s="13" t="inlineStr">
        <is>
          <t>Невыполнение требований НТД</t>
        </is>
      </c>
      <c r="F6" s="13" t="inlineStr">
        <is>
          <t>Да</t>
        </is>
      </c>
      <c r="G6" s="13" t="inlineStr">
        <is>
          <t>Клиент сообщает, что на ДО СПИСАНИЯ Стеклошарик в кол-ве 418 кг были выявлены несоответсвтия: 
- В процессе использования сырья в производстве был выявлен скрытый дефект: стеклошарики в мешках скомкованы вследствие намокания упаковки. Из-за нарушения физико-химических свойств сырья технологическое оборудование (фреза) не обеспечивает разбивание образовавшихся комков, что приводит к выпуску бракованной продукции (краски).
Требование: в течении 5 рабочих дней забрать несоответствующий товар и вернуть оплату в размере        61 516,47 руб. В случае невыполнения требований, клиент указывает, что обратится в суд. 
ЗК 1027</t>
        </is>
      </c>
      <c r="H6" s="22" t="inlineStr">
        <is>
          <t>Отдел по работе с заказами</t>
        </is>
      </c>
      <c r="I6" s="13" t="inlineStr">
        <is>
          <t>Другое</t>
        </is>
      </c>
      <c r="J6" s="13" t="inlineStr">
        <is>
          <t>16.06.2026 11:59, Лиганов Дмитрий Сергеевич. Ознакомлен(а): 
надо вернуть 
претензионное писмо в ПМ</t>
        </is>
      </c>
      <c r="K6" s="13" t="inlineStr">
        <is>
          <t>Не требуется</t>
        </is>
      </c>
      <c r="L6" s="13" t="inlineStr">
        <is>
          <t>Не требуется</t>
        </is>
      </c>
      <c r="M6" s="13" t="inlineStr">
        <is>
          <t>Не требуется</t>
        </is>
      </c>
      <c r="N6" s="18" t="n">
        <v>61516.47</v>
      </c>
      <c r="O6" s="17" t="n">
        <v>418</v>
      </c>
      <c r="P6" s="13" t="inlineStr">
        <is>
          <t>Возврат ДС клиенту - 61 516,47</t>
        </is>
      </c>
      <c r="Q6" s="13" t="inlineStr">
        <is>
          <t>В РАБОТЕ</t>
        </is>
      </c>
    </row>
    <row r="7" ht="60.6" customHeight="1">
      <c r="A7" s="3" t="inlineStr">
        <is>
          <t>5977 от 19.06.26</t>
        </is>
      </c>
      <c r="B7" s="4" t="inlineStr">
        <is>
          <t xml:space="preserve">Адонин В.А. ИП </t>
        </is>
      </c>
      <c r="C7" s="4" t="inlineStr">
        <is>
          <t>Внешняя</t>
        </is>
      </c>
      <c r="D7" s="4" t="inlineStr">
        <is>
          <t>Качество</t>
        </is>
      </c>
      <c r="E7" s="4" t="inlineStr">
        <is>
          <t>Несоответствие требованиям КД</t>
        </is>
      </c>
      <c r="F7" s="4" t="inlineStr">
        <is>
          <t>Да</t>
        </is>
      </c>
      <c r="G7" s="4" t="inlineStr">
        <is>
          <t>Геометрические размеры элементов м/и ГПЦ(80) Секция ограждения пешеходного 422-1,0Д/2,0 Ромб (80) не обеспечивают возможность сборки изделия 
ЗК 854, реал. 1377</t>
        </is>
      </c>
      <c r="H7" s="4" t="inlineStr">
        <is>
          <t>Дирекция по разработкам</t>
        </is>
      </c>
      <c r="I7" s="4" t="inlineStr">
        <is>
          <t>ПО</t>
        </is>
      </c>
      <c r="J7" s="4" t="inlineStr">
        <is>
          <t>Заказчик закупил самостоятельно, затраты на закупку метизов планирует компенсировать скидкой на другие заказы в будущем.</t>
        </is>
      </c>
      <c r="K7" s="4" t="inlineStr">
        <is>
          <t>Игнорирование стандартов и правил, установленных на предприятии</t>
        </is>
      </c>
      <c r="L7" s="4" t="inlineStr">
        <is>
          <t>Ошибки в чертежах/конструкторской документации (КД)</t>
        </is>
      </c>
      <c r="M7" s="4" t="inlineStr">
        <is>
          <t>Проверка моделей на собираемость. Отв. Степанов Н.М., ЦТОЗ. Постоянно</t>
        </is>
      </c>
      <c r="N7" s="5" t="n">
        <v>1674</v>
      </c>
      <c r="O7" s="20" t="inlineStr">
        <is>
          <t>1 539,71</t>
        </is>
      </c>
      <c r="P7" s="4" t="inlineStr">
        <is>
          <t>Возврат метизов ДЛ - 1 674 руб.</t>
        </is>
      </c>
      <c r="Q7" s="4" t="inlineStr">
        <is>
          <t>26.06.2026</t>
        </is>
      </c>
    </row>
  </sheetData>
  <autoFilter ref="A1:Q7"/>
  <pageMargins left="0.3937007874015748" right="0.3937007874015748" top="0.3937007874015748" bottom="0.3937007874015748" header="0" footer="0"/>
  <pageSetup orientation="portrait" paperSize="9" pageOrder="overThenDown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2026-07-06T08:50:10Z</dcterms:created>
  <dcterms:modified xmlns:dcterms="http://purl.org/dc/terms/" xmlns:xsi="http://www.w3.org/2001/XMLSchema-instance" xsi:type="dcterms:W3CDTF">2026-07-06T08:50:10Z</dcterms:modified>
  <cp:lastModifiedBy>Куликова Севда Габилевна</cp:lastModifiedBy>
</cp:coreProperties>
</file>