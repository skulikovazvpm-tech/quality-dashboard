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6320" windowWidth="27870" windowHeight="16440" tabRatio="600" firstSheet="0" activeTab="0" autoFilterDateGrouping="1"/>
  </bookViews>
  <sheets>
    <sheet xmlns:r="http://schemas.openxmlformats.org/officeDocument/2006/relationships" name="Лист_1" sheetId="1" state="visible" r:id="rId1"/>
  </sheets>
  <definedNames>
    <definedName name="_xlnm._FilterDatabase" localSheetId="0" hidden="1">'Лист_1'!$A$1:$Q$20</definedName>
  </definedNames>
  <calcPr calcId="181029" fullCalcOnLoad="1" refMode="R1C1"/>
</workbook>
</file>

<file path=xl/styles.xml><?xml version="1.0" encoding="utf-8"?>
<styleSheet xmlns="http://schemas.openxmlformats.org/spreadsheetml/2006/main">
  <numFmts count="3">
    <numFmt numFmtId="164" formatCode="#,##0.00000"/>
    <numFmt numFmtId="165" formatCode="0.00000"/>
    <numFmt numFmtId="166" formatCode="0.0"/>
  </numFmts>
  <fonts count="3">
    <font>
      <name val="Arial"/>
      <sz val="8"/>
    </font>
    <font>
      <name val="Arial"/>
      <b val="1"/>
      <color rgb="FFFFFFFF"/>
      <sz val="10"/>
    </font>
    <font>
      <name val="Arial"/>
      <charset val="204"/>
      <family val="2"/>
      <sz val="8"/>
    </font>
  </fonts>
  <fills count="4">
    <fill>
      <patternFill/>
    </fill>
    <fill>
      <patternFill patternType="gray125"/>
    </fill>
    <fill>
      <patternFill patternType="solid">
        <fgColor rgb="FF4574A0"/>
        <bgColor auto="1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DC7EB"/>
      </left>
      <right style="thin">
        <color rgb="FFBDC7EB"/>
      </right>
      <top style="thin">
        <color rgb="FFBDC7EB"/>
      </top>
      <bottom style="thin">
        <color rgb="FFBDC7EB"/>
      </bottom>
      <diagonal/>
    </border>
    <border>
      <left style="thin">
        <color rgb="FF7D8AB9"/>
      </left>
      <right style="thin">
        <color rgb="FF7D8AB9"/>
      </right>
      <top style="thin">
        <color rgb="FF7D8AB9"/>
      </top>
      <bottom style="thin">
        <color rgb="FF7D8AB9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left" vertical="top"/>
    </xf>
    <xf numFmtId="0" fontId="0" fillId="0" borderId="2" applyAlignment="1" pivotButton="0" quotePrefix="0" xfId="0">
      <alignment horizontal="left" vertical="top" wrapText="1"/>
    </xf>
    <xf numFmtId="164" fontId="0" fillId="0" borderId="2" applyAlignment="1" pivotButton="0" quotePrefix="0" xfId="0">
      <alignment horizontal="right" vertical="top" wrapText="1"/>
    </xf>
    <xf numFmtId="2" fontId="0" fillId="0" borderId="2" applyAlignment="1" pivotButton="0" quotePrefix="0" xfId="0">
      <alignment horizontal="right" vertical="top" wrapText="1"/>
    </xf>
    <xf numFmtId="165" fontId="0" fillId="0" borderId="2" applyAlignment="1" pivotButton="0" quotePrefix="0" xfId="0">
      <alignment horizontal="right" vertical="top" wrapText="1"/>
    </xf>
    <xf numFmtId="166" fontId="0" fillId="0" borderId="2" applyAlignment="1" pivotButton="0" quotePrefix="0" xfId="0">
      <alignment horizontal="right" vertical="top" wrapText="1"/>
    </xf>
    <xf numFmtId="3" fontId="0" fillId="0" borderId="2" applyAlignment="1" pivotButton="0" quotePrefix="0" xfId="0">
      <alignment horizontal="right" vertical="top" wrapText="1"/>
    </xf>
    <xf numFmtId="1" fontId="0" fillId="0" borderId="2" applyAlignment="1" pivotButton="0" quotePrefix="0" xfId="0">
      <alignment horizontal="right" vertical="top" wrapText="1"/>
    </xf>
    <xf numFmtId="14" fontId="0" fillId="0" borderId="2" applyAlignment="1" pivotButton="0" quotePrefix="0" xfId="0">
      <alignment horizontal="left" vertical="top" wrapText="1"/>
    </xf>
    <xf numFmtId="0" fontId="0" fillId="3" borderId="2" applyAlignment="1" pivotButton="0" quotePrefix="0" xfId="0">
      <alignment horizontal="left" vertical="top"/>
    </xf>
    <xf numFmtId="0" fontId="0" fillId="3" borderId="2" applyAlignment="1" pivotButton="0" quotePrefix="0" xfId="0">
      <alignment horizontal="left" vertical="top" wrapText="1"/>
    </xf>
    <xf numFmtId="164" fontId="0" fillId="3" borderId="2" applyAlignment="1" pivotButton="0" quotePrefix="0" xfId="0">
      <alignment horizontal="right" vertical="top" wrapText="1"/>
    </xf>
    <xf numFmtId="3" fontId="0" fillId="3" borderId="2" applyAlignment="1" pivotButton="0" quotePrefix="0" xfId="0">
      <alignment horizontal="right" vertical="top" wrapText="1"/>
    </xf>
    <xf numFmtId="165" fontId="0" fillId="3" borderId="2" applyAlignment="1" pivotButton="0" quotePrefix="0" xfId="0">
      <alignment horizontal="right" vertical="top" wrapText="1"/>
    </xf>
    <xf numFmtId="0" fontId="0" fillId="3" borderId="2" applyAlignment="1" pivotButton="0" quotePrefix="0" xfId="0">
      <alignment horizontal="right" vertical="top" wrapText="1"/>
    </xf>
    <xf numFmtId="4" fontId="0" fillId="3" borderId="2" applyAlignment="1" pivotButton="0" quotePrefix="0" xfId="0">
      <alignment horizontal="right" vertical="top" wrapText="1"/>
    </xf>
    <xf numFmtId="0" fontId="2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right" vertical="top" wrapText="1"/>
    </xf>
    <xf numFmtId="0" fontId="0" fillId="0" borderId="2" applyAlignment="1" pivotButton="0" quotePrefix="0" xfId="0">
      <alignment horizontal="right" vertical="top" wrapText="1"/>
    </xf>
    <xf numFmtId="0" fontId="2" fillId="3" borderId="2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autoPageBreaks="0"/>
  </sheetPr>
  <dimension ref="A1:Q20"/>
  <sheetViews>
    <sheetView tabSelected="1" workbookViewId="0">
      <selection activeCell="D19" sqref="D19"/>
    </sheetView>
  </sheetViews>
  <sheetFormatPr baseColWidth="8" defaultColWidth="10.42578125" defaultRowHeight="11.4" customHeight="1"/>
  <cols>
    <col width="24.5703125" customWidth="1" style="1" min="1" max="1"/>
    <col width="17.7109375" customWidth="1" style="1" min="2" max="2"/>
    <col width="15.7109375" customWidth="1" style="1" min="3" max="3"/>
    <col width="15.28515625" customWidth="1" style="1" min="4" max="4"/>
    <col width="20.85546875" customWidth="1" style="1" min="5" max="5"/>
    <col width="15.7109375" customWidth="1" style="1" min="6" max="6"/>
    <col width="56.7109375" customWidth="1" style="1" min="7" max="7"/>
    <col width="21.42578125" customWidth="1" style="1" min="8" max="8"/>
    <col width="20.85546875" customWidth="1" style="1" min="9" max="9"/>
    <col width="29.42578125" customWidth="1" style="1" min="10" max="10"/>
    <col width="24.42578125" customWidth="1" style="1" min="11" max="11"/>
    <col width="23.140625" customWidth="1" style="1" min="12" max="12"/>
    <col width="43.28515625" customWidth="1" style="1" min="13" max="13"/>
    <col width="20" customWidth="1" style="1" min="14" max="14"/>
    <col width="27" customWidth="1" style="1" min="15" max="15"/>
    <col width="34.42578125" customWidth="1" style="1" min="16" max="16"/>
    <col width="15.28515625" customWidth="1" style="1" min="17" max="17"/>
  </cols>
  <sheetData>
    <row r="1" ht="58.8" customHeight="1">
      <c r="A1" s="2" t="inlineStr">
        <is>
          <t>Регистрационный номер</t>
        </is>
      </c>
      <c r="B1" s="2" t="inlineStr">
        <is>
          <t>Отправитель</t>
        </is>
      </c>
      <c r="C1" s="2" t="inlineStr">
        <is>
          <t>Рекламация</t>
        </is>
      </c>
      <c r="D1" s="2" t="inlineStr">
        <is>
          <t>Вид рекламации</t>
        </is>
      </c>
      <c r="E1" s="2" t="inlineStr">
        <is>
          <t>Вид несоответствия</t>
        </is>
      </c>
      <c r="F1" s="2" t="inlineStr">
        <is>
          <t>Рекламация обоснована</t>
        </is>
      </c>
      <c r="G1" s="2" t="inlineStr">
        <is>
          <t>Содержание рекламации</t>
        </is>
      </c>
      <c r="H1" s="2" t="inlineStr">
        <is>
          <t>Ответственное подразделение</t>
        </is>
      </c>
      <c r="I1" s="2" t="inlineStr">
        <is>
          <t>Продуктовое направление</t>
        </is>
      </c>
      <c r="J1" s="2" t="inlineStr">
        <is>
          <t>Решение по рекламации</t>
        </is>
      </c>
      <c r="K1" s="2" t="inlineStr">
        <is>
          <t>Коренная причина необнаружения</t>
        </is>
      </c>
      <c r="L1" s="2" t="inlineStr">
        <is>
          <t>Корреная причина возникновения</t>
        </is>
      </c>
      <c r="M1" s="2" t="inlineStr">
        <is>
          <t>Корректирующие действия</t>
        </is>
      </c>
      <c r="N1" s="2" t="inlineStr">
        <is>
          <t>Сумма затрат</t>
        </is>
      </c>
      <c r="O1" s="2" t="inlineStr">
        <is>
          <t>Масса металлоизделий с несоответствиями, кг</t>
        </is>
      </c>
      <c r="P1" s="2" t="inlineStr">
        <is>
          <t>Состав затрат</t>
        </is>
      </c>
      <c r="Q1" s="2" t="inlineStr">
        <is>
          <t>Дата закрытия рекламации</t>
        </is>
      </c>
    </row>
    <row r="2" ht="32.4" customHeight="1">
      <c r="A2" s="3" t="inlineStr">
        <is>
          <t>3374 от  08.04.26</t>
        </is>
      </c>
      <c r="B2" s="4" t="inlineStr">
        <is>
          <t>НПС Снабжение</t>
        </is>
      </c>
      <c r="C2" s="4" t="inlineStr">
        <is>
          <t>Внешняя</t>
        </is>
      </c>
      <c r="D2" s="4" t="inlineStr">
        <is>
          <t>Качество</t>
        </is>
      </c>
      <c r="E2" s="4" t="inlineStr">
        <is>
          <t>Несоответствия ЦП</t>
        </is>
      </c>
      <c r="F2" s="4" t="inlineStr">
        <is>
          <t>Нет</t>
        </is>
      </c>
      <c r="G2" s="4" t="inlineStr">
        <is>
          <t>На м/и Вставка отрывная ВО-140 выявлены несоответствия: 
-Толщина ЦП 64-79 мкм
ЗК 1044, реал. 514</t>
        </is>
      </c>
      <c r="H2" s="4" t="n"/>
      <c r="I2" s="4" t="inlineStr">
        <is>
          <t>ДО</t>
        </is>
      </c>
      <c r="J2" s="4" t="n"/>
      <c r="K2" s="4" t="n"/>
      <c r="L2" s="4" t="n"/>
      <c r="M2" s="4" t="n"/>
      <c r="N2" s="4" t="n"/>
      <c r="O2" s="4" t="n"/>
      <c r="P2" s="4" t="n"/>
      <c r="Q2" s="4" t="inlineStr">
        <is>
          <t>22.04.2026</t>
        </is>
      </c>
    </row>
    <row r="3" ht="40.8" customHeight="1">
      <c r="A3" s="12" t="inlineStr">
        <is>
          <t>3562 от 13.04.26</t>
        </is>
      </c>
      <c r="B3" s="13" t="inlineStr">
        <is>
          <t>НПС Снабжение</t>
        </is>
      </c>
      <c r="C3" s="13" t="inlineStr">
        <is>
          <t>Внешняя</t>
        </is>
      </c>
      <c r="D3" s="13" t="inlineStr">
        <is>
          <t>Количество</t>
        </is>
      </c>
      <c r="E3" s="13" t="inlineStr">
        <is>
          <t>Невыполнение требований НТД</t>
        </is>
      </c>
      <c r="F3" s="13" t="inlineStr">
        <is>
          <t>Да</t>
        </is>
      </c>
      <c r="G3" s="13" t="inlineStr">
        <is>
          <t>Для отгруженных ОМФП в кол-ве 6 шт. отсутствуют метизы для сборки
Требование: отгрузить метизы 
ЗК 136, реал. 614</t>
        </is>
      </c>
      <c r="H3" s="22" t="inlineStr">
        <is>
          <t>Отдел логистики, ОЭУ</t>
        </is>
      </c>
      <c r="I3" s="13" t="inlineStr">
        <is>
          <t>ОМФП</t>
        </is>
      </c>
      <c r="J3" s="13" t="inlineStr">
        <is>
          <t>Отправить деловыми линиями</t>
        </is>
      </c>
      <c r="K3" s="13" t="inlineStr">
        <is>
          <t>Невнимательность исполнителя</t>
        </is>
      </c>
      <c r="L3" s="13" t="inlineStr">
        <is>
          <t>Недостаточная ясность и детализация процедур</t>
        </is>
      </c>
      <c r="M3" s="13" t="inlineStr">
        <is>
          <t>Накручивать метизы в производстве в процессе сборки и выпуска ГПСкомпл</t>
        </is>
      </c>
      <c r="N3" s="14" t="n">
        <v>4000</v>
      </c>
      <c r="O3" s="15" t="n">
        <v>4470</v>
      </c>
      <c r="P3" s="13" t="inlineStr">
        <is>
          <t>Отгрузка деловыми линиями - 4 000 руб</t>
        </is>
      </c>
      <c r="Q3" s="13" t="inlineStr">
        <is>
          <t>В РАБОТЕ</t>
        </is>
      </c>
    </row>
    <row r="4" ht="33" customHeight="1">
      <c r="A4" s="3" t="inlineStr">
        <is>
          <t>4066 от 28.04.26</t>
        </is>
      </c>
      <c r="B4" s="4" t="inlineStr">
        <is>
          <t>КТЦбел (Беларусь)</t>
        </is>
      </c>
      <c r="C4" s="4" t="inlineStr">
        <is>
          <t>Внешняя</t>
        </is>
      </c>
      <c r="D4" s="4" t="inlineStr">
        <is>
          <t>Качество</t>
        </is>
      </c>
      <c r="E4" s="4" t="inlineStr">
        <is>
          <t>Несоответствие толщины цинкового покрытия</t>
        </is>
      </c>
      <c r="F4" s="4" t="inlineStr">
        <is>
          <t>Нет</t>
        </is>
      </c>
      <c r="G4" s="4" t="inlineStr">
        <is>
          <t>Выявлены несоответствия ЦП на Стойках мостовых: 
- Несоответствия толщины цинкового покрытия (менее 120 мкм)
ЗК 168</t>
        </is>
      </c>
      <c r="H4" s="4" t="n"/>
      <c r="I4" s="4" t="inlineStr">
        <is>
          <t>ДО</t>
        </is>
      </c>
      <c r="J4" s="4" t="n"/>
      <c r="K4" s="4" t="n"/>
      <c r="L4" s="4" t="n"/>
      <c r="M4" s="4" t="n"/>
      <c r="N4" s="4" t="n"/>
      <c r="O4" s="4" t="n"/>
      <c r="P4" s="4" t="n"/>
      <c r="Q4" s="4" t="inlineStr">
        <is>
          <t>29.04.2026</t>
        </is>
      </c>
    </row>
    <row r="5" ht="57.6" customHeight="1">
      <c r="A5" s="3" t="inlineStr">
        <is>
          <t>4275 от  05.05.26</t>
        </is>
      </c>
      <c r="B5" s="4" t="inlineStr">
        <is>
          <t>Строд Сервис</t>
        </is>
      </c>
      <c r="C5" s="4" t="inlineStr">
        <is>
          <t>Внешняя</t>
        </is>
      </c>
      <c r="D5" s="4" t="inlineStr">
        <is>
          <t>Качество</t>
        </is>
      </c>
      <c r="E5" s="4" t="inlineStr">
        <is>
          <t>Несоответствия ЦП</t>
        </is>
      </c>
      <c r="F5" s="4" t="inlineStr">
        <is>
          <t>Нет</t>
        </is>
      </c>
      <c r="G5" s="4" t="inlineStr">
        <is>
          <t>Выявлены несоответствия ЦП на м/и от давальца секции пешеходных ограждений Класс D5.1. (80 мкм) (цинк)
Требования: выезд представителя завода для совместной приемки 06.05.2026, в 13:00
Договора подряда № 1Ц/26 от 13.01.2026</t>
        </is>
      </c>
      <c r="H5" s="4" t="n"/>
      <c r="I5" s="4" t="inlineStr">
        <is>
          <t>Услуги по оцинкованию (давальцы)</t>
        </is>
      </c>
      <c r="J5" s="4" t="n"/>
      <c r="K5" s="4" t="n"/>
      <c r="L5" s="4" t="n"/>
      <c r="M5" s="4" t="n"/>
      <c r="N5" s="4" t="n"/>
      <c r="O5" s="4" t="n"/>
      <c r="P5" s="4" t="n"/>
      <c r="Q5" s="4" t="inlineStr">
        <is>
          <t>06.05.2026</t>
        </is>
      </c>
    </row>
    <row r="6" ht="34.2" customHeight="1">
      <c r="A6" s="3" t="inlineStr">
        <is>
          <t>4576 от  12.05.26</t>
        </is>
      </c>
      <c r="B6" s="4" t="inlineStr">
        <is>
          <t>ДОРЛАЙН</t>
        </is>
      </c>
      <c r="C6" s="4" t="inlineStr">
        <is>
          <t>Внешняя</t>
        </is>
      </c>
      <c r="D6" s="4" t="inlineStr">
        <is>
          <t>Количество</t>
        </is>
      </c>
      <c r="E6" s="4" t="inlineStr">
        <is>
          <t>Несоответствие количества</t>
        </is>
      </c>
      <c r="F6" s="4" t="inlineStr">
        <is>
          <t>Нет</t>
        </is>
      </c>
      <c r="G6" s="4" t="inlineStr">
        <is>
          <t>Недопоставка ГПЦ(60) Консоль-амортизатор КА (БО 248.01.00.002-01) в количестве 660 шт.
ЗК 901, реал. 579</t>
        </is>
      </c>
      <c r="H6" s="4" t="n"/>
      <c r="I6" s="4" t="inlineStr">
        <is>
          <t>ДО</t>
        </is>
      </c>
      <c r="J6" s="4" t="inlineStr">
        <is>
          <t>Отправлено письмо, рекламация не обоснованная</t>
        </is>
      </c>
      <c r="K6" s="4" t="n"/>
      <c r="L6" s="4" t="n"/>
      <c r="M6" s="4" t="n"/>
      <c r="N6" s="4" t="n"/>
      <c r="O6" s="4" t="n"/>
      <c r="P6" s="4" t="n"/>
      <c r="Q6" s="4" t="inlineStr">
        <is>
          <t>26.05.2026</t>
        </is>
      </c>
    </row>
    <row r="7" ht="64.2" customHeight="1">
      <c r="A7" s="3" t="inlineStr">
        <is>
          <t>4586 от  12.05.26</t>
        </is>
      </c>
      <c r="B7" s="4" t="inlineStr">
        <is>
          <t>ФЕНИКС</t>
        </is>
      </c>
      <c r="C7" s="4" t="inlineStr">
        <is>
          <t>Внешняя</t>
        </is>
      </c>
      <c r="D7" s="4" t="inlineStr">
        <is>
          <t>Качество</t>
        </is>
      </c>
      <c r="E7" s="4" t="inlineStr">
        <is>
          <t>Несоответствия ЦП</t>
        </is>
      </c>
      <c r="F7" s="4" t="inlineStr">
        <is>
          <t>Нет</t>
        </is>
      </c>
      <c r="G7" s="4" t="inlineStr">
        <is>
          <t>Выявлены несоответствия на метизной продукции (10% от общего объема):
-бурая ржавчина 
Требование: выезд представителя 13.05.26 г для совместного осмотра
ЗК 1179</t>
        </is>
      </c>
      <c r="H7" s="4" t="n"/>
      <c r="I7" s="4" t="inlineStr">
        <is>
          <t>ДО</t>
        </is>
      </c>
      <c r="J7" s="4" t="inlineStr">
        <is>
          <t>По результам выезда, признана необоснованной. Акт в карточке документа</t>
        </is>
      </c>
      <c r="K7" s="4" t="n"/>
      <c r="L7" s="4" t="n"/>
      <c r="M7" s="4" t="inlineStr">
        <is>
          <t>По результам выезда, признана необоснованной. Акт в карточке документа</t>
        </is>
      </c>
      <c r="N7" s="5" t="n">
        <v>39351</v>
      </c>
      <c r="O7" s="4" t="n"/>
      <c r="P7" s="4" t="inlineStr">
        <is>
          <t>Заявка на командировку №116 - 39 351 руб.</t>
        </is>
      </c>
      <c r="Q7" s="4" t="inlineStr">
        <is>
          <t>18.05.2026</t>
        </is>
      </c>
    </row>
    <row r="8" ht="32.4" customHeight="1">
      <c r="A8" s="3" t="inlineStr">
        <is>
          <t>4656 от  14.05.26</t>
        </is>
      </c>
      <c r="B8" s="4" t="inlineStr">
        <is>
          <t>ИНССТАЛЬ</t>
        </is>
      </c>
      <c r="C8" s="4" t="inlineStr">
        <is>
          <t>Внешняя</t>
        </is>
      </c>
      <c r="D8" s="4" t="inlineStr">
        <is>
          <t>Количество</t>
        </is>
      </c>
      <c r="E8" s="4" t="inlineStr">
        <is>
          <t>Несоответствие количества</t>
        </is>
      </c>
      <c r="F8" s="4" t="inlineStr">
        <is>
          <t>Да</t>
        </is>
      </c>
      <c r="G8" s="4" t="inlineStr">
        <is>
          <t>Клиент сообщил о недопоставке гартцинка в количестве 100 кг.
ЗК 165, реал 913</t>
        </is>
      </c>
      <c r="H8" s="19" t="inlineStr">
        <is>
          <t>ЦЦ, Отдел логистики</t>
        </is>
      </c>
      <c r="I8" s="4" t="inlineStr">
        <is>
          <t>Другое</t>
        </is>
      </c>
      <c r="J8" s="4" t="inlineStr">
        <is>
          <t>Обоснована, в ЦГЦ завешивают пачки и печатают бирки с весом пачки. Склад принимает по биркам и в реализацию заходит суммарный вес со всех бирок. Ошибка произошла при взвешивании в ЦГЦ. Корректировка документов реализации.</t>
        </is>
      </c>
      <c r="K8" s="4" t="n"/>
      <c r="L8" s="4" t="inlineStr">
        <is>
          <t>Невнимательность исполнителя</t>
        </is>
      </c>
      <c r="M8" s="4" t="inlineStr">
        <is>
          <t>При приемке продукции на складе будет производится контрольное взвешивание и сравниваться с биркой, в случае нарушения веса будет возврат в ЦГЦ для исправления.</t>
        </is>
      </c>
      <c r="N8" s="7" t="n">
        <v>0.01</v>
      </c>
      <c r="O8" s="10" t="n">
        <v>100</v>
      </c>
      <c r="P8" s="4" t="inlineStr">
        <is>
          <t>Отсутствуют</t>
        </is>
      </c>
      <c r="Q8" s="4" t="inlineStr">
        <is>
          <t>26.05.2026</t>
        </is>
      </c>
    </row>
    <row r="9" ht="53.4" customHeight="1">
      <c r="A9" s="3" t="inlineStr">
        <is>
          <t>4661 от 14.05.26</t>
        </is>
      </c>
      <c r="B9" s="4" t="inlineStr">
        <is>
          <t>СПБ-МЕТАЛЛ</t>
        </is>
      </c>
      <c r="C9" s="4" t="inlineStr">
        <is>
          <t>Внешняя</t>
        </is>
      </c>
      <c r="D9" s="4" t="inlineStr">
        <is>
          <t>Количество</t>
        </is>
      </c>
      <c r="E9" s="4" t="inlineStr">
        <is>
          <t>Несоответствие количества</t>
        </is>
      </c>
      <c r="F9" s="4" t="inlineStr">
        <is>
          <t>Да</t>
        </is>
      </c>
      <c r="G9" s="4" t="inlineStr">
        <is>
          <t>Выявлена недопоставка м/и:
Опора СМО-1,1Д-004 в кол-ве 2 шт.; 
Консоль-амортизатора КА-120/4W в кол-ве 2 шт.
Требование: допоставить комплектующие
ЗК 1658</t>
        </is>
      </c>
      <c r="H9" s="4" t="inlineStr">
        <is>
          <t>Отдел логистики</t>
        </is>
      </c>
      <c r="I9" s="4" t="inlineStr">
        <is>
          <t>ДО</t>
        </is>
      </c>
      <c r="J9" s="4" t="inlineStr">
        <is>
          <t>Допоставка за счет виновного</t>
        </is>
      </c>
      <c r="K9" s="4" t="inlineStr">
        <is>
          <t>Невнимательность исполнителя</t>
        </is>
      </c>
      <c r="L9" s="4" t="inlineStr">
        <is>
          <t>Невнимательность исполнителя</t>
        </is>
      </c>
      <c r="M9" s="4" t="inlineStr">
        <is>
          <t>Внеплановый инструктаж со всеми сменами склада</t>
        </is>
      </c>
      <c r="N9" s="7" t="n">
        <v>0.1</v>
      </c>
      <c r="O9" s="6" t="n">
        <v>15.86</v>
      </c>
      <c r="P9" s="4" t="inlineStr">
        <is>
          <t>ТМЦ из излишек
ТЗР за счет виновного кладовщика (Журавлева Л.В.)</t>
        </is>
      </c>
      <c r="Q9" s="4" t="inlineStr">
        <is>
          <t>29.05.2026</t>
        </is>
      </c>
    </row>
    <row r="10" ht="49.2" customHeight="1">
      <c r="A10" s="3" t="inlineStr">
        <is>
          <t>5070 от 27.05.26</t>
        </is>
      </c>
      <c r="B10" s="4" t="inlineStr">
        <is>
          <t>КАЖСЕРВИС</t>
        </is>
      </c>
      <c r="C10" s="4" t="inlineStr">
        <is>
          <t>Внешняя</t>
        </is>
      </c>
      <c r="D10" s="4" t="inlineStr">
        <is>
          <t>Качество</t>
        </is>
      </c>
      <c r="E10" s="4" t="inlineStr">
        <is>
          <t>Невыполнение требований НТД</t>
        </is>
      </c>
      <c r="F10" s="4" t="inlineStr">
        <is>
          <t>Нет</t>
        </is>
      </c>
      <c r="G10" s="4" t="inlineStr">
        <is>
          <t>Клиент сообщает об износе на колесах опорных для воротных систем и повреждениях на секциях балки. Поставка была апрель- май 2025 г.
ЗК 268</t>
        </is>
      </c>
      <c r="H10" s="4" t="n"/>
      <c r="I10" s="4" t="inlineStr">
        <is>
          <t>ВО</t>
        </is>
      </c>
      <c r="J10" s="4" t="inlineStr">
        <is>
          <t>Отправлен ответ о том, что рекламация не обоснованная</t>
        </is>
      </c>
      <c r="K10" s="4" t="n"/>
      <c r="L10" s="4" t="n"/>
      <c r="M10" s="4" t="n"/>
      <c r="N10" s="4" t="n"/>
      <c r="O10" s="4" t="n"/>
      <c r="P10" s="4" t="n"/>
      <c r="Q10" s="4" t="inlineStr">
        <is>
          <t>29.06.2026</t>
        </is>
      </c>
    </row>
    <row r="11" ht="75" customHeight="1">
      <c r="A11" s="12" t="inlineStr">
        <is>
          <t>5143 от 28.05.26</t>
        </is>
      </c>
      <c r="B11" s="13" t="inlineStr">
        <is>
          <t>ДСК АВТОБАН</t>
        </is>
      </c>
      <c r="C11" s="13" t="inlineStr">
        <is>
          <t>Внешняя</t>
        </is>
      </c>
      <c r="D11" s="13" t="inlineStr">
        <is>
          <t>Качество</t>
        </is>
      </c>
      <c r="E11" s="13" t="inlineStr">
        <is>
          <t>Отсутствует маркировка ЕАС</t>
        </is>
      </c>
      <c r="F11" s="13" t="inlineStr">
        <is>
          <t>Да</t>
        </is>
      </c>
      <c r="G11" s="13" t="inlineStr">
        <is>
          <t>Выявлены несоответствия на элементах БО:
- отсутствует маркировка EAC
- не обеспечено четкое и ясное изображение EAC 
Требование: принять меры по устранению указанных несоответствий, а также сообщить нам о принятых мерах в срок до 12.06.2026 г.
Договор поставки №УК-304-КПСтройМат-04.25 от 30.04.2025 г.</t>
        </is>
      </c>
      <c r="H11" s="13" t="inlineStr">
        <is>
          <t>Департамент производства</t>
        </is>
      </c>
      <c r="I11" s="13" t="inlineStr">
        <is>
          <t>ДО</t>
        </is>
      </c>
      <c r="J11" s="13" t="inlineStr">
        <is>
          <t>В РАБОТЕ</t>
        </is>
      </c>
      <c r="K11" s="13" t="inlineStr">
        <is>
          <t>В РАБОТЕ</t>
        </is>
      </c>
      <c r="L11" s="13" t="inlineStr">
        <is>
          <t>В РАБОТЕ</t>
        </is>
      </c>
      <c r="M11" s="13" t="inlineStr">
        <is>
          <t>В РАБОТЕ</t>
        </is>
      </c>
      <c r="N11" s="13" t="inlineStr">
        <is>
          <t>В РАБОТЕ</t>
        </is>
      </c>
      <c r="O11" s="17" t="inlineStr">
        <is>
          <t>В РАБОТЕ</t>
        </is>
      </c>
      <c r="P11" s="13" t="inlineStr">
        <is>
          <t>В РАБОТЕ</t>
        </is>
      </c>
      <c r="Q11" s="13" t="inlineStr">
        <is>
          <t>В РАБОТЕ</t>
        </is>
      </c>
    </row>
    <row r="12" ht="67.8" customHeight="1">
      <c r="A12" s="3" t="inlineStr">
        <is>
          <t>5148 от 28.05.26</t>
        </is>
      </c>
      <c r="B12" s="4" t="inlineStr">
        <is>
          <t>РЕМДОРСТРОЙ</t>
        </is>
      </c>
      <c r="C12" s="4" t="inlineStr">
        <is>
          <t>Внешняя</t>
        </is>
      </c>
      <c r="D12" s="4" t="inlineStr">
        <is>
          <t>Качество</t>
        </is>
      </c>
      <c r="E12" s="4" t="inlineStr">
        <is>
          <t>Невыполнение требований НТД</t>
        </is>
      </c>
      <c r="F12" s="4" t="inlineStr">
        <is>
          <t>Да</t>
        </is>
      </c>
      <c r="G12" s="4" t="inlineStr">
        <is>
          <t>Клиент сообщает, что заказывал болты с полной резьбой по всей длине, однако по факту отгрузки получил болты с неполной резьбой. Полная информация от менеджера во вложении.
Требование: в кротчайшие сроки произвести замену продукции. На объекте монтаж начинается с 01.06.26
ЗК 815, реал. 1035</t>
        </is>
      </c>
      <c r="H12" s="4" t="inlineStr">
        <is>
          <t>Отдел региональных продаж</t>
        </is>
      </c>
      <c r="I12" s="4" t="inlineStr">
        <is>
          <t>Метизы</t>
        </is>
      </c>
      <c r="J12" s="4" t="inlineStr">
        <is>
          <t>Произвести срочную отгрузку  в  адрес клиента за счет менеджера</t>
        </is>
      </c>
      <c r="K12" s="4" t="inlineStr">
        <is>
          <t>Невнимательность исполнителя</t>
        </is>
      </c>
      <c r="L12" s="4" t="inlineStr">
        <is>
          <t>Невнимательность исполнителя</t>
        </is>
      </c>
      <c r="M12" s="4" t="inlineStr">
        <is>
          <t>В случае самостоятельного оформления КВ направлять на проверку в ЦТОЗ
Отв. : Руководитель отдела региональных продаж
Срок: постоянно</t>
        </is>
      </c>
      <c r="N12" s="5" t="n">
        <v>5200</v>
      </c>
      <c r="O12" s="21" t="n">
        <v>0</v>
      </c>
      <c r="P12" s="4" t="inlineStr">
        <is>
          <t>Затраты на отправку и возврат 5 200 руб</t>
        </is>
      </c>
      <c r="Q12" s="4" t="inlineStr">
        <is>
          <t>24.06.2026</t>
        </is>
      </c>
    </row>
    <row r="13" ht="46.8" customHeight="1">
      <c r="A13" s="12" t="inlineStr">
        <is>
          <t>5228 от 29.05.26</t>
        </is>
      </c>
      <c r="B13" s="13" t="inlineStr">
        <is>
          <t>РЕКОНЭНЕРГО</t>
        </is>
      </c>
      <c r="C13" s="13" t="inlineStr">
        <is>
          <t>Внешняя</t>
        </is>
      </c>
      <c r="D13" s="13" t="inlineStr">
        <is>
          <t>Качество</t>
        </is>
      </c>
      <c r="E13" s="13" t="inlineStr">
        <is>
          <t>Невыполнение требований НТД</t>
        </is>
      </c>
      <c r="F13" s="22" t="inlineStr">
        <is>
          <t>Нет</t>
        </is>
      </c>
      <c r="G13" s="13" t="inlineStr">
        <is>
          <t>Поступила информация о том, что внешний вид ЦП не соответствует требованиям НТД, механическое повреждение
ЗК 1273
В работе, уточняются обстоятельства</t>
        </is>
      </c>
      <c r="H13" s="13" t="n"/>
      <c r="I13" s="13" t="inlineStr">
        <is>
          <t>ОО</t>
        </is>
      </c>
      <c r="J13" s="13" t="n"/>
      <c r="K13" s="13" t="n"/>
      <c r="L13" s="13" t="n"/>
      <c r="M13" s="13" t="n"/>
      <c r="N13" s="13" t="n"/>
      <c r="O13" s="13" t="n"/>
      <c r="P13" s="13" t="n"/>
      <c r="Q13" s="13" t="n"/>
    </row>
    <row r="14" ht="57" customHeight="1">
      <c r="A14" s="12" t="inlineStr">
        <is>
          <t>5253 от 01.06.26</t>
        </is>
      </c>
      <c r="B14" s="13" t="inlineStr">
        <is>
          <t>ВОЛГА-ЭНЕРГОГАЗ</t>
        </is>
      </c>
      <c r="C14" s="13" t="inlineStr">
        <is>
          <t>Внешняя</t>
        </is>
      </c>
      <c r="D14" s="13" t="inlineStr">
        <is>
          <t>Качество</t>
        </is>
      </c>
      <c r="E14" s="13" t="inlineStr">
        <is>
          <t>Несоответствие геометрических размеров</t>
        </is>
      </c>
      <c r="F14" s="13" t="inlineStr">
        <is>
          <t>Да</t>
        </is>
      </c>
      <c r="G14" s="13" t="inlineStr">
        <is>
          <t>"Несоответствия геометрических размеров на ГПЦ(настил)(40) Настил SP 34х38/30х3 S4 А Zn 2220х800 (017.06.150.012) и ГПЦ(настил)(40) Настил SP 34х38/30х3 S4 А Zn 2220х1000 (017.06.150.013)
ЗК 612, реал. 1197"</t>
        </is>
      </c>
      <c r="H14" s="22" t="inlineStr">
        <is>
          <t>УПН</t>
        </is>
      </c>
      <c r="I14" s="13" t="inlineStr">
        <is>
          <t>Решетчатые настилы</t>
        </is>
      </c>
      <c r="J14" s="13" t="inlineStr">
        <is>
          <t>Забор-доработка-возврат</t>
        </is>
      </c>
      <c r="K14" s="13" t="inlineStr">
        <is>
          <t>В РАБОТЕ</t>
        </is>
      </c>
      <c r="L14" s="13" t="inlineStr">
        <is>
          <t>В РАБОТЕ</t>
        </is>
      </c>
      <c r="M14" s="13" t="inlineStr">
        <is>
          <t>В РАБОТЕ</t>
        </is>
      </c>
      <c r="N14" s="16" t="n">
        <v>0.01</v>
      </c>
      <c r="O14" s="17">
        <f>417.68+86.62</f>
        <v/>
      </c>
      <c r="P14" s="13" t="inlineStr">
        <is>
          <t>Отсутствуют</t>
        </is>
      </c>
      <c r="Q14" s="13" t="inlineStr">
        <is>
          <t>В РАБОТЕ</t>
        </is>
      </c>
    </row>
    <row r="15" ht="63.6" customHeight="1">
      <c r="A15" s="3" t="inlineStr">
        <is>
          <t>5763 от 10.06.26</t>
        </is>
      </c>
      <c r="B15" s="4" t="inlineStr">
        <is>
          <t>Д И М ООО</t>
        </is>
      </c>
      <c r="C15" s="4" t="inlineStr">
        <is>
          <t>Внешняя</t>
        </is>
      </c>
      <c r="D15" s="4" t="inlineStr">
        <is>
          <t>Качество</t>
        </is>
      </c>
      <c r="E15" s="4" t="inlineStr">
        <is>
          <t>Невыполнение требований НТД</t>
        </is>
      </c>
      <c r="F15" s="4" t="inlineStr">
        <is>
          <t>Нет</t>
        </is>
      </c>
      <c r="G15" s="4" t="inlineStr">
        <is>
          <t>По информации клиента, на 46 шт. ГПЦ "Болт М16-6g×35.58.0930 ГОСТ 7798-70 оцинкованное" после сборки металлоизделий не обеспечено выступание резьбовой части болта над гайкой более чем на 2 витка
Требование заменить болты на 40 или 45 р-р.
ЗК 388</t>
        </is>
      </c>
      <c r="H15" s="4" t="n"/>
      <c r="I15" s="4" t="inlineStr">
        <is>
          <t>Метизы</t>
        </is>
      </c>
      <c r="J15" s="4" t="inlineStr">
        <is>
          <t>Отгрузить в адрес клиента ГПЦ(закупка) (в ШТ) Болт М16-6azx45.58.0930 ГОСТ 7798-70 Оцинкованное в кол-ве 46 шт. Отгрузка за счет клиента</t>
        </is>
      </c>
      <c r="K15" s="4" t="n"/>
      <c r="L15" s="4" t="n"/>
      <c r="M15" s="4" t="n"/>
      <c r="N15" s="7" t="n">
        <v>88</v>
      </c>
      <c r="O15" s="4" t="n"/>
      <c r="P15" s="4" t="inlineStr">
        <is>
          <t>Стоимость  ГПЦ(закупка) (в ШТ) Болт М16-6azx45.58.0930 ГОСТ 7798-70 в кол-ве 46 шт. - 88 р</t>
        </is>
      </c>
      <c r="Q15" s="4" t="inlineStr">
        <is>
          <t>29.06.2026</t>
        </is>
      </c>
    </row>
    <row r="16" ht="113.4" customHeight="1">
      <c r="A16" s="3" t="inlineStr">
        <is>
          <t>5767 от 10.06.26</t>
        </is>
      </c>
      <c r="B16" s="4" t="inlineStr">
        <is>
          <t>УМ-10 (Омск)</t>
        </is>
      </c>
      <c r="C16" s="4" t="inlineStr">
        <is>
          <t>Внешняя</t>
        </is>
      </c>
      <c r="D16" s="4" t="inlineStr">
        <is>
          <t>Качество</t>
        </is>
      </c>
      <c r="E16" s="4" t="inlineStr">
        <is>
          <t>Невыполнение требований НТД</t>
        </is>
      </c>
      <c r="F16" s="4" t="inlineStr">
        <is>
          <t>Нет</t>
        </is>
      </c>
      <c r="G16" s="4" t="inlineStr">
        <is>
          <t>Клиентом получено предписание в отношении БО. Согласно замечанию, представленные фотоматериалы маркировочных бирок на отдельных элементах барьерного ограждения (секция балки, консоль-амортизатор) содержат знак обращения продукции, товарный знак изготовителя ОАО «Продмаш» и дату изготовления, однако не содержат сведения по условному обозначению продукции в соответствии с требованиями п. 5.2 ГОСТ Р 58351-2019.
Клиент просит до 12.06.26 подготовить официальный ответ для заказчика.
ЗК 1808</t>
        </is>
      </c>
      <c r="H16" s="4" t="n"/>
      <c r="I16" s="4" t="inlineStr">
        <is>
          <t>ДО</t>
        </is>
      </c>
      <c r="J16" s="4" t="inlineStr">
        <is>
          <t>Отправлен оф. ответ 11.06.26 исх. 611</t>
        </is>
      </c>
      <c r="K16" s="4" t="n"/>
      <c r="L16" s="4" t="n"/>
      <c r="M16" s="4" t="n"/>
      <c r="N16" s="21" t="n">
        <v>1500</v>
      </c>
      <c r="O16" s="4" t="n"/>
      <c r="P16" s="19" t="inlineStr">
        <is>
          <t>Отправка маркировочных бирок в рамках лояльности к клиенту СДЭКом 1 500 руб.</t>
        </is>
      </c>
      <c r="Q16" s="4" t="inlineStr">
        <is>
          <t>06.07.2026</t>
        </is>
      </c>
    </row>
    <row r="17" ht="133.2" customHeight="1">
      <c r="A17" s="12" t="inlineStr">
        <is>
          <t>5843 от 15.06.26</t>
        </is>
      </c>
      <c r="B17" s="13" t="inlineStr">
        <is>
          <t>МОСТОВИК</t>
        </is>
      </c>
      <c r="C17" s="13" t="inlineStr">
        <is>
          <t>Внешняя</t>
        </is>
      </c>
      <c r="D17" s="13" t="inlineStr">
        <is>
          <t>Количество</t>
        </is>
      </c>
      <c r="E17" s="13" t="inlineStr">
        <is>
          <t>Несоответствие требованиям РД/договорным документа</t>
        </is>
      </c>
      <c r="F17" s="13" t="inlineStr">
        <is>
          <t>Да</t>
        </is>
      </c>
      <c r="G17" s="13" t="inlineStr">
        <is>
          <t>От заказчика поступил запрос на разъяснение по ЗК 543 (КП 973) в части отсутствия на отдельных участках трассы радиусных балок, предусмотренных рабочей документацией.
По результатам проверки от ЦТОЗ установлено, что три из четырёх указанных заказчиком участков не входили в объём нашей поставки. Вместе с тем по одному участку протяжённостью 12 м радиусное исполнение не было учтено при комплектации заказа, в результате чего были поставлены две прямые балки длиной 6320 мм.
Дополнительно: необходимо изготовить и отгрузить клиенту 3 шт. ГПЦ(80) Элемент радиусный ЭР-W/2,5-19930-М5 (R=19930 мм; Lзаг=4320 мм) ВЫПУКЛЫЙ
ЗК 543</t>
        </is>
      </c>
      <c r="H17" s="22" t="inlineStr">
        <is>
          <t>ЦТОЗ</t>
        </is>
      </c>
      <c r="I17" s="13" t="inlineStr">
        <is>
          <t>ДО</t>
        </is>
      </c>
      <c r="J17" s="13" t="inlineStr">
        <is>
          <t>Изготовление и отгрузка 3х м/и</t>
        </is>
      </c>
      <c r="K17" s="13" t="inlineStr">
        <is>
          <t>В РАБОТЕ</t>
        </is>
      </c>
      <c r="L17" s="13" t="inlineStr">
        <is>
          <t>В РАБОТЕ</t>
        </is>
      </c>
      <c r="M17" s="13" t="inlineStr">
        <is>
          <t>В РАБОТЕ</t>
        </is>
      </c>
      <c r="N17" s="17" t="inlineStr">
        <is>
          <t>12 974,84</t>
        </is>
      </c>
      <c r="O17" s="17" t="n">
        <v>118.5</v>
      </c>
      <c r="P17" s="13" t="inlineStr">
        <is>
          <t>Заказ на ВП 889 (Изготовление) - 12974,84
Отгрузка совместно с реал. 1443 от 20.06.26</t>
        </is>
      </c>
      <c r="Q17" s="13" t="inlineStr">
        <is>
          <t>В РАБОТЕ</t>
        </is>
      </c>
    </row>
    <row r="18" ht="136.8" customHeight="1">
      <c r="A18" s="12" t="inlineStr">
        <is>
          <t>5851 от 16.06.26</t>
        </is>
      </c>
      <c r="B18" s="13" t="inlineStr">
        <is>
          <t>ДЕССА</t>
        </is>
      </c>
      <c r="C18" s="13" t="inlineStr">
        <is>
          <t>Внешняя</t>
        </is>
      </c>
      <c r="D18" s="13" t="inlineStr">
        <is>
          <t>Качество</t>
        </is>
      </c>
      <c r="E18" s="13" t="inlineStr">
        <is>
          <t>Невыполнение требований НТД</t>
        </is>
      </c>
      <c r="F18" s="13" t="inlineStr">
        <is>
          <t>Да</t>
        </is>
      </c>
      <c r="G18" s="13" t="inlineStr">
        <is>
          <t>Клиент сообщает, что на ДО СПИСАНИЯ Стеклошарик в кол-ве 418 кг были выявлены несоответсвтия: 
- В процессе использования сырья в производстве был выявлен скрытый дефект: стеклошарики в мешках скомкованы вследствие намокания упаковки. Из-за нарушения физико-химических свойств сырья технологическое оборудование (фреза) не обеспечивает разбивание образовавшихся комков, что приводит к выпуску бракованной продукции (краски).
Требование: в течении 5 рабочих дней забрать несоответствующий товар и вернуть оплату в размере        61 516,47 руб. В случае невыполнения требований, клиент указывает, что обратится в суд. 
ЗК 1027</t>
        </is>
      </c>
      <c r="H18" s="22" t="inlineStr">
        <is>
          <t>Отдел по работе с заказами</t>
        </is>
      </c>
      <c r="I18" s="13" t="inlineStr">
        <is>
          <t>Другое</t>
        </is>
      </c>
      <c r="J18" s="13" t="inlineStr">
        <is>
          <t>16.06.2026 11:59, Лиганов Дмитрий Сергеевич. Ознакомлен(а): 
надо вернуть 
претензионное писмо в ПМ</t>
        </is>
      </c>
      <c r="K18" s="13" t="inlineStr">
        <is>
          <t>Не требуется</t>
        </is>
      </c>
      <c r="L18" s="13" t="inlineStr">
        <is>
          <t>Не требуется</t>
        </is>
      </c>
      <c r="M18" s="13" t="inlineStr">
        <is>
          <t>Не требуется</t>
        </is>
      </c>
      <c r="N18" s="18" t="n">
        <v>61516.47</v>
      </c>
      <c r="O18" s="17" t="n">
        <v>418</v>
      </c>
      <c r="P18" s="13" t="inlineStr">
        <is>
          <t>Возврат ДС клиенту - 61 516,47</t>
        </is>
      </c>
      <c r="Q18" s="13" t="inlineStr">
        <is>
          <t>В РАБОТЕ</t>
        </is>
      </c>
    </row>
    <row r="19" ht="60.6" customHeight="1">
      <c r="A19" s="3" t="inlineStr">
        <is>
          <t>5977 от 19.06.26</t>
        </is>
      </c>
      <c r="B19" s="4" t="inlineStr">
        <is>
          <t xml:space="preserve">Адонин В.А. ИП </t>
        </is>
      </c>
      <c r="C19" s="4" t="inlineStr">
        <is>
          <t>Внешняя</t>
        </is>
      </c>
      <c r="D19" s="4" t="inlineStr">
        <is>
          <t>Качество</t>
        </is>
      </c>
      <c r="E19" s="4" t="inlineStr">
        <is>
          <t>Несоответствие требованиям КД</t>
        </is>
      </c>
      <c r="F19" s="4" t="inlineStr">
        <is>
          <t>Да</t>
        </is>
      </c>
      <c r="G19" s="4" t="inlineStr">
        <is>
          <t>Геометрические размеры элементов м/и ГПЦ(80) Секция ограждения пешеходного 422-1,0Д/2,0 Ромб (80) не обеспечивают возможность сборки изделия 
ЗК 854, реал. 1377</t>
        </is>
      </c>
      <c r="H19" s="4" t="inlineStr">
        <is>
          <t>Дирекция по разработкам</t>
        </is>
      </c>
      <c r="I19" s="4" t="inlineStr">
        <is>
          <t>ПО</t>
        </is>
      </c>
      <c r="J19" s="4" t="inlineStr">
        <is>
          <t>Заказчик закупил самостоятельно, затраты на закупку метизов планирует компенсировать скидкой на другие заказы в будущем.</t>
        </is>
      </c>
      <c r="K19" s="4" t="inlineStr">
        <is>
          <t>Игнорирование стандартов и правил, установленных на предприятии</t>
        </is>
      </c>
      <c r="L19" s="4" t="inlineStr">
        <is>
          <t>Ошибки в чертежах/конструкторской документации (КД)</t>
        </is>
      </c>
      <c r="M19" s="4" t="inlineStr">
        <is>
          <t>Проверка моделей на собираемость. Отв. Степанов Н.М., ЦТОЗ. Постоянно</t>
        </is>
      </c>
      <c r="N19" s="5" t="n">
        <v>1674</v>
      </c>
      <c r="O19" s="20" t="inlineStr">
        <is>
          <t>1 539,71</t>
        </is>
      </c>
      <c r="P19" s="4" t="inlineStr">
        <is>
          <t>Возврат метизов ДЛ - 1 674 руб.</t>
        </is>
      </c>
      <c r="Q19" s="4" t="inlineStr">
        <is>
          <t>26.06.2026</t>
        </is>
      </c>
    </row>
    <row r="20" ht="55.8" customHeight="1">
      <c r="A20" s="3" t="inlineStr">
        <is>
          <t>3638 от 15.04.26</t>
        </is>
      </c>
      <c r="B20" s="4" t="inlineStr">
        <is>
          <t>ТСМ</t>
        </is>
      </c>
      <c r="C20" s="4" t="inlineStr">
        <is>
          <t>Внешняя</t>
        </is>
      </c>
      <c r="D20" s="4" t="inlineStr">
        <is>
          <t>Качество</t>
        </is>
      </c>
      <c r="E20" s="4" t="inlineStr">
        <is>
          <t>Невыполнение требований НТД</t>
        </is>
      </c>
      <c r="F20" s="4" t="inlineStr">
        <is>
          <t>Да</t>
        </is>
      </c>
      <c r="G20" s="4" t="inlineStr">
        <is>
          <t>Отсутствует свинчиваемость на м/и (ПРЯМ.П) Элемент закладной анкерный ЗА-36/24/Д1560-1,5-хц (ЭЗ 280.00.00.000 СБ)
Прямая поставка от ДОРСВЕТЭНЕРГО 
ЗК 2275, Заказ поставщику 682</t>
        </is>
      </c>
      <c r="H20" s="4" t="inlineStr">
        <is>
          <t>Отдел закупок</t>
        </is>
      </c>
      <c r="I20" s="4" t="inlineStr">
        <is>
          <t>Мачты</t>
        </is>
      </c>
      <c r="J20" s="4" t="inlineStr">
        <is>
          <t>поставщик производит отбраковку на площадке с представителем заказчика</t>
        </is>
      </c>
      <c r="K20" s="4" t="inlineStr">
        <is>
          <t>Поставщик не обеспечивает качество продукции в соответствии с требованиями</t>
        </is>
      </c>
      <c r="L20" s="4" t="inlineStr">
        <is>
          <t>Поставщик не обеспечивает качество продукции в соответствии с требованиями</t>
        </is>
      </c>
      <c r="M20" s="4" t="inlineStr">
        <is>
          <t>Прямая поставка - добавить контроль отгружаемой продукции (карточки контроля от ОТК)</t>
        </is>
      </c>
      <c r="N20" s="7" t="n">
        <v>0.01</v>
      </c>
      <c r="O20" s="4" t="n">
        <v>0</v>
      </c>
      <c r="P20" s="4" t="inlineStr">
        <is>
          <t>Отсутствуют</t>
        </is>
      </c>
      <c r="Q20" s="4" t="inlineStr">
        <is>
          <t>03.06.2026</t>
        </is>
      </c>
    </row>
  </sheetData>
  <autoFilter ref="A1:Q20"/>
  <pageMargins left="0.3937007874015748" right="0.3937007874015748" top="0.3937007874015748" bottom="0.3937007874015748" header="0" footer="0"/>
  <pageSetup orientation="portrait" paperSize="9" pageOrder="overThenDown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2026-07-06T08:50:10Z</dcterms:created>
  <dcterms:modified xmlns:dcterms="http://purl.org/dc/terms/" xmlns:xsi="http://www.w3.org/2001/XMLSchema-instance" xsi:type="dcterms:W3CDTF">2026-07-06T08:50:10Z</dcterms:modified>
  <cp:lastModifiedBy>Куликова Севда Габилевна</cp:lastModifiedBy>
</cp:coreProperties>
</file>